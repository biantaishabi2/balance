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表-base_case" sheetId="1" state="visible" r:id="rId1"/>
    <sheet xmlns:r="http://schemas.openxmlformats.org/officeDocument/2006/relationships" name="三表-bull_case" sheetId="2" state="visible" r:id="rId2"/>
    <sheet xmlns:r="http://schemas.openxmlformats.org/officeDocument/2006/relationships" name="三表-bear_case" sheetId="3" state="visible" r:id="rId3"/>
    <sheet xmlns:r="http://schemas.openxmlformats.org/officeDocument/2006/relationships" name="DCF估值" sheetId="4" state="visible" r:id="rId4"/>
    <sheet xmlns:r="http://schemas.openxmlformats.org/officeDocument/2006/relationships" name="场景对比" sheetId="5" state="visible" r:id="rId5"/>
    <sheet xmlns:r="http://schemas.openxmlformats.org/officeDocument/2006/relationships" name="敏感性分析" sheetId="6" state="visible" r:id="rId6"/>
    <sheet xmlns:r="http://schemas.openxmlformats.org/officeDocument/2006/relationships" name="高级功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</cols>
  <sheetData>
    <row r="1">
      <c r="A1" s="1" t="inlineStr">
        <is>
          <t>宁德时代 财务模型 - base_case</t>
        </is>
      </c>
    </row>
    <row r="3">
      <c r="A3" s="1" t="inlineStr">
        <is>
          <t>利润表</t>
        </is>
      </c>
    </row>
    <row r="4">
      <c r="A4" s="2" t="inlineStr">
        <is>
          <t>科目</t>
        </is>
      </c>
      <c r="B4" s="2" t="inlineStr">
        <is>
          <t>金额(万元)</t>
        </is>
      </c>
      <c r="C4" s="2" t="inlineStr">
        <is>
          <t>公式</t>
        </is>
      </c>
    </row>
    <row r="5">
      <c r="A5" s="3" t="inlineStr">
        <is>
          <t>营业收入</t>
        </is>
      </c>
      <c r="B5" s="4" t="n">
        <v>30854846.583</v>
      </c>
      <c r="C5" s="4" t="inlineStr">
        <is>
          <t>last_revenue × (1 + growth_rate)</t>
        </is>
      </c>
    </row>
    <row r="6">
      <c r="A6" s="3" t="inlineStr">
        <is>
          <t>营业成本</t>
        </is>
      </c>
      <c r="B6" s="4" t="n">
        <v>23048570.397501</v>
      </c>
      <c r="C6" s="4" t="inlineStr">
        <is>
          <t>revenue × (1 - gross_margin)</t>
        </is>
      </c>
    </row>
    <row r="7">
      <c r="A7" s="5" t="inlineStr">
        <is>
          <t>毛利</t>
        </is>
      </c>
      <c r="B7" s="6" t="n">
        <v>7806276.185499001</v>
      </c>
      <c r="C7" s="6" t="inlineStr">
        <is>
          <t>revenue - cost</t>
        </is>
      </c>
    </row>
    <row r="8">
      <c r="A8" s="3" t="inlineStr">
        <is>
          <t>营业费用</t>
        </is>
      </c>
      <c r="B8" s="4" t="n">
        <v>2992920.118551</v>
      </c>
      <c r="C8" s="4" t="inlineStr">
        <is>
          <t>revenue × opex_ratio</t>
        </is>
      </c>
    </row>
    <row r="9">
      <c r="A9" s="5" t="inlineStr">
        <is>
          <t>营业利润</t>
        </is>
      </c>
      <c r="B9" s="6" t="n">
        <v>4813356.066948001</v>
      </c>
      <c r="C9" s="6" t="inlineStr">
        <is>
          <t>gross_profit - opex</t>
        </is>
      </c>
    </row>
    <row r="10">
      <c r="A10" s="3" t="inlineStr">
        <is>
          <t>利息费用</t>
        </is>
      </c>
      <c r="B10" s="4" t="n">
        <v>218452.38404</v>
      </c>
      <c r="C10" s="4" t="inlineStr">
        <is>
          <t>debt × interest_rate</t>
        </is>
      </c>
    </row>
    <row r="11">
      <c r="A11" s="5" t="inlineStr">
        <is>
          <t>税前利润</t>
        </is>
      </c>
      <c r="B11" s="6" t="n">
        <v>4594903.682908001</v>
      </c>
      <c r="C11" s="6" t="inlineStr">
        <is>
          <t>ebit - interest</t>
        </is>
      </c>
    </row>
    <row r="12">
      <c r="A12" s="3" t="inlineStr">
        <is>
          <t>所得税</t>
        </is>
      </c>
      <c r="B12" s="4" t="n">
        <v>636853.650451049</v>
      </c>
      <c r="C12" s="4" t="inlineStr">
        <is>
          <t>max(ebt, 0) × tax_rate</t>
        </is>
      </c>
    </row>
    <row r="13">
      <c r="A13" s="5" t="inlineStr">
        <is>
          <t>净利润</t>
        </is>
      </c>
      <c r="B13" s="6" t="n">
        <v>3958050.032456952</v>
      </c>
      <c r="C13" s="6" t="inlineStr">
        <is>
          <t>ebt - tax</t>
        </is>
      </c>
    </row>
    <row r="15">
      <c r="A15" s="1" t="inlineStr">
        <is>
          <t>资产负债表</t>
        </is>
      </c>
    </row>
    <row r="16">
      <c r="A16" s="2" t="inlineStr">
        <is>
          <t>科目</t>
        </is>
      </c>
      <c r="B16" s="2" t="inlineStr">
        <is>
          <t>金额(万元)</t>
        </is>
      </c>
      <c r="C16" s="2" t="inlineStr">
        <is>
          <t>说明</t>
        </is>
      </c>
    </row>
    <row r="17">
      <c r="A17" s="7" t="inlineStr">
        <is>
          <t>【资产】</t>
        </is>
      </c>
    </row>
    <row r="18">
      <c r="A18" s="3" t="inlineStr">
        <is>
          <t xml:space="preserve">  现金</t>
        </is>
      </c>
      <c r="B18" s="4" t="n">
        <v>23999396.80535759</v>
      </c>
      <c r="C18" s="4" t="inlineStr"/>
    </row>
    <row r="19">
      <c r="A19" s="3" t="inlineStr">
        <is>
          <t xml:space="preserve">  应收账款</t>
        </is>
      </c>
      <c r="B19" s="4" t="n">
        <v>5410164.880306849</v>
      </c>
      <c r="C19" s="4" t="inlineStr"/>
    </row>
    <row r="20">
      <c r="A20" s="3" t="inlineStr">
        <is>
          <t xml:space="preserve">  存货</t>
        </is>
      </c>
      <c r="B20" s="4" t="n">
        <v>6440970.357657813</v>
      </c>
      <c r="C20" s="4" t="inlineStr"/>
    </row>
    <row r="21">
      <c r="A21" s="3" t="inlineStr">
        <is>
          <t xml:space="preserve">  固定资产净值</t>
        </is>
      </c>
      <c r="B21" s="4" t="n">
        <v>11456129.3608374</v>
      </c>
      <c r="C21" s="4" t="inlineStr"/>
    </row>
    <row r="22">
      <c r="A22" s="5" t="inlineStr">
        <is>
          <t>资产合计</t>
        </is>
      </c>
      <c r="B22" s="6" t="n">
        <v>47306661.40415965</v>
      </c>
      <c r="C22" s="6" t="inlineStr"/>
    </row>
    <row r="23">
      <c r="A23" s="7" t="inlineStr">
        <is>
          <t>【负债】</t>
        </is>
      </c>
    </row>
    <row r="24">
      <c r="A24" s="3" t="inlineStr">
        <is>
          <t xml:space="preserve">  应付账款</t>
        </is>
      </c>
      <c r="B24" s="4" t="n">
        <v>7577612.185479781</v>
      </c>
      <c r="C24" s="4" t="inlineStr"/>
    </row>
    <row r="25">
      <c r="A25" s="3" t="inlineStr">
        <is>
          <t xml:space="preserve">  有息负债</t>
        </is>
      </c>
      <c r="B25" s="4" t="n">
        <v>9375638.800000001</v>
      </c>
      <c r="C25" s="4" t="inlineStr"/>
    </row>
    <row r="26">
      <c r="A26" s="5" t="inlineStr">
        <is>
          <t>负债合计</t>
        </is>
      </c>
      <c r="B26" s="6" t="n">
        <v>16953250.98547978</v>
      </c>
      <c r="C26" s="6" t="inlineStr"/>
    </row>
    <row r="27">
      <c r="A27" s="7" t="inlineStr">
        <is>
          <t>【权益】</t>
        </is>
      </c>
    </row>
    <row r="28">
      <c r="A28" s="5" t="inlineStr">
        <is>
          <t>权益合计</t>
        </is>
      </c>
      <c r="B28" s="6" t="n">
        <v>30116252.42271987</v>
      </c>
      <c r="C28" s="6" t="inlineStr"/>
    </row>
    <row r="30">
      <c r="A30" s="1" t="inlineStr">
        <is>
          <t>现金流量表</t>
        </is>
      </c>
    </row>
    <row r="31">
      <c r="A31" s="2" t="inlineStr">
        <is>
          <t>科目</t>
        </is>
      </c>
      <c r="B31" s="2" t="inlineStr">
        <is>
          <t>金额(万元)</t>
        </is>
      </c>
      <c r="C31" s="2" t="inlineStr">
        <is>
          <t>公式</t>
        </is>
      </c>
    </row>
    <row r="32">
      <c r="A32" s="3" t="inlineStr">
        <is>
          <t>经营活动现金流</t>
        </is>
      </c>
      <c r="B32" s="4" t="n">
        <v>-5722990.84437933</v>
      </c>
      <c r="C32" s="4" t="inlineStr">
        <is>
          <t>net_income + depreciation - ΔNWC</t>
        </is>
      </c>
    </row>
    <row r="33">
      <c r="A33" s="3" t="inlineStr">
        <is>
          <t>投资活动现金流</t>
        </is>
      </c>
      <c r="B33" s="4" t="n">
        <v>-1295903.556486</v>
      </c>
      <c r="C33" s="4" t="inlineStr">
        <is>
          <t>-capex</t>
        </is>
      </c>
    </row>
    <row r="34">
      <c r="A34" s="3" t="inlineStr">
        <is>
          <t>筹资活动现金流</t>
        </is>
      </c>
      <c r="B34" s="4" t="n">
        <v>-1405867.393777085</v>
      </c>
      <c r="C34" s="4" t="inlineStr">
        <is>
          <t>-interest - dividend + Δdebt</t>
        </is>
      </c>
    </row>
    <row r="35">
      <c r="A35" s="5" t="inlineStr">
        <is>
          <t>现金净变动</t>
        </is>
      </c>
      <c r="B35" s="6" t="n">
        <v>-8424761.794642415</v>
      </c>
      <c r="C35" s="6" t="inlineStr">
        <is>
          <t>OCF + ICF + FCF</t>
        </is>
      </c>
    </row>
    <row r="36">
      <c r="A36" s="5" t="inlineStr">
        <is>
          <t>期末现金</t>
        </is>
      </c>
      <c r="B36" s="6" t="n">
        <v>23999396.80535759</v>
      </c>
      <c r="C36" s="6" t="inlineStr"/>
    </row>
    <row r="38">
      <c r="A38" s="1" t="inlineStr">
        <is>
          <t>配平检验</t>
        </is>
      </c>
    </row>
    <row r="39">
      <c r="A39" s="3" t="inlineStr">
        <is>
          <t>状态</t>
        </is>
      </c>
      <c r="B39" s="4" t="inlineStr">
        <is>
          <t>✗ 不配平</t>
        </is>
      </c>
      <c r="C39" s="4" t="inlineStr">
        <is>
          <t>差额: 237158.00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</cols>
  <sheetData>
    <row r="1">
      <c r="A1" s="1" t="inlineStr">
        <is>
          <t>宁德时代 财务模型 - bull_case</t>
        </is>
      </c>
    </row>
    <row r="3">
      <c r="A3" s="1" t="inlineStr">
        <is>
          <t>利润表</t>
        </is>
      </c>
    </row>
    <row r="4">
      <c r="A4" s="2" t="inlineStr">
        <is>
          <t>科目</t>
        </is>
      </c>
      <c r="B4" s="2" t="inlineStr">
        <is>
          <t>金额(万元)</t>
        </is>
      </c>
      <c r="C4" s="2" t="inlineStr">
        <is>
          <t>公式</t>
        </is>
      </c>
    </row>
    <row r="5">
      <c r="A5" s="3" t="inlineStr">
        <is>
          <t>营业收入</t>
        </is>
      </c>
      <c r="B5" s="4" t="n">
        <v>32553278.505</v>
      </c>
      <c r="C5" s="4" t="inlineStr">
        <is>
          <t>last_revenue × (1 + growth_rate)</t>
        </is>
      </c>
    </row>
    <row r="6">
      <c r="A6" s="3" t="inlineStr">
        <is>
          <t>营业成本</t>
        </is>
      </c>
      <c r="B6" s="4" t="n">
        <v>23666233.47313499</v>
      </c>
      <c r="C6" s="4" t="inlineStr">
        <is>
          <t>revenue × (1 - gross_margin)</t>
        </is>
      </c>
    </row>
    <row r="7">
      <c r="A7" s="5" t="inlineStr">
        <is>
          <t>毛利</t>
        </is>
      </c>
      <c r="B7" s="6" t="n">
        <v>8887045.031865001</v>
      </c>
      <c r="C7" s="6" t="inlineStr">
        <is>
          <t>revenue - cost</t>
        </is>
      </c>
    </row>
    <row r="8">
      <c r="A8" s="3" t="inlineStr">
        <is>
          <t>营业费用</t>
        </is>
      </c>
      <c r="B8" s="4" t="n">
        <v>3092561.457975</v>
      </c>
      <c r="C8" s="4" t="inlineStr">
        <is>
          <t>revenue × opex_ratio</t>
        </is>
      </c>
    </row>
    <row r="9">
      <c r="A9" s="5" t="inlineStr">
        <is>
          <t>营业利润</t>
        </is>
      </c>
      <c r="B9" s="6" t="n">
        <v>5794483.573890001</v>
      </c>
      <c r="C9" s="6" t="inlineStr">
        <is>
          <t>gross_profit - opex</t>
        </is>
      </c>
    </row>
    <row r="10">
      <c r="A10" s="3" t="inlineStr">
        <is>
          <t>利息费用</t>
        </is>
      </c>
      <c r="B10" s="4" t="n">
        <v>206264.0536</v>
      </c>
      <c r="C10" s="4" t="inlineStr">
        <is>
          <t>debt × interest_rate</t>
        </is>
      </c>
    </row>
    <row r="11">
      <c r="A11" s="5" t="inlineStr">
        <is>
          <t>税前利润</t>
        </is>
      </c>
      <c r="B11" s="6" t="n">
        <v>5588219.52029</v>
      </c>
      <c r="C11" s="6" t="inlineStr">
        <is>
          <t>ebit - interest</t>
        </is>
      </c>
    </row>
    <row r="12">
      <c r="A12" s="3" t="inlineStr">
        <is>
          <t>所得税</t>
        </is>
      </c>
      <c r="B12" s="4" t="n">
        <v>774527.2255121941</v>
      </c>
      <c r="C12" s="4" t="inlineStr">
        <is>
          <t>max(ebt, 0) × tax_rate</t>
        </is>
      </c>
    </row>
    <row r="13">
      <c r="A13" s="5" t="inlineStr">
        <is>
          <t>净利润</t>
        </is>
      </c>
      <c r="B13" s="6" t="n">
        <v>4813692.294777806</v>
      </c>
      <c r="C13" s="6" t="inlineStr">
        <is>
          <t>ebt - tax</t>
        </is>
      </c>
    </row>
    <row r="15">
      <c r="A15" s="1" t="inlineStr">
        <is>
          <t>资产负债表</t>
        </is>
      </c>
    </row>
    <row r="16">
      <c r="A16" s="2" t="inlineStr">
        <is>
          <t>科目</t>
        </is>
      </c>
      <c r="B16" s="2" t="inlineStr">
        <is>
          <t>金额(万元)</t>
        </is>
      </c>
      <c r="C16" s="2" t="inlineStr">
        <is>
          <t>说明</t>
        </is>
      </c>
    </row>
    <row r="17">
      <c r="A17" s="7" t="inlineStr">
        <is>
          <t>【资产】</t>
        </is>
      </c>
    </row>
    <row r="18">
      <c r="A18" s="3" t="inlineStr">
        <is>
          <t xml:space="preserve">  现金</t>
        </is>
      </c>
      <c r="B18" s="4" t="n">
        <v>25083145.60479254</v>
      </c>
      <c r="C18" s="4" t="inlineStr"/>
    </row>
    <row r="19">
      <c r="A19" s="3" t="inlineStr">
        <is>
          <t xml:space="preserve">  应收账款</t>
        </is>
      </c>
      <c r="B19" s="4" t="n">
        <v>5351223.863835615</v>
      </c>
      <c r="C19" s="4" t="inlineStr"/>
    </row>
    <row r="20">
      <c r="A20" s="3" t="inlineStr">
        <is>
          <t xml:space="preserve">  存货</t>
        </is>
      </c>
      <c r="B20" s="4" t="n">
        <v>6159704.602596779</v>
      </c>
      <c r="C20" s="4" t="inlineStr"/>
    </row>
    <row r="21">
      <c r="A21" s="3" t="inlineStr">
        <is>
          <t xml:space="preserve">  固定资产净值</t>
        </is>
      </c>
      <c r="B21" s="4" t="n">
        <v>11754713.692725</v>
      </c>
      <c r="C21" s="4" t="inlineStr"/>
    </row>
    <row r="22">
      <c r="A22" s="5" t="inlineStr">
        <is>
          <t>资产合计</t>
        </is>
      </c>
      <c r="B22" s="6" t="n">
        <v>48348787.76394993</v>
      </c>
      <c r="C22" s="6" t="inlineStr"/>
    </row>
    <row r="23">
      <c r="A23" s="7" t="inlineStr">
        <is>
          <t>【负债】</t>
        </is>
      </c>
    </row>
    <row r="24">
      <c r="A24" s="3" t="inlineStr">
        <is>
          <t xml:space="preserve">  应付账款</t>
        </is>
      </c>
      <c r="B24" s="4" t="n">
        <v>8104874.477101025</v>
      </c>
      <c r="C24" s="4" t="inlineStr"/>
    </row>
    <row r="25">
      <c r="A25" s="3" t="inlineStr">
        <is>
          <t xml:space="preserve">  有息负债</t>
        </is>
      </c>
      <c r="B25" s="4" t="n">
        <v>9375638.800000001</v>
      </c>
      <c r="C25" s="4" t="inlineStr"/>
    </row>
    <row r="26">
      <c r="A26" s="5" t="inlineStr">
        <is>
          <t>负债合计</t>
        </is>
      </c>
      <c r="B26" s="6" t="n">
        <v>17480513.27710102</v>
      </c>
      <c r="C26" s="6" t="inlineStr"/>
    </row>
    <row r="27">
      <c r="A27" s="7" t="inlineStr">
        <is>
          <t>【权益】</t>
        </is>
      </c>
    </row>
    <row r="28">
      <c r="A28" s="5" t="inlineStr">
        <is>
          <t>权益合计</t>
        </is>
      </c>
      <c r="B28" s="6" t="n">
        <v>30618928.16044891</v>
      </c>
      <c r="C28" s="6" t="inlineStr"/>
    </row>
    <row r="30">
      <c r="A30" s="1" t="inlineStr">
        <is>
          <t>现金流量表</t>
        </is>
      </c>
    </row>
    <row r="31">
      <c r="A31" s="2" t="inlineStr">
        <is>
          <t>科目</t>
        </is>
      </c>
      <c r="B31" s="2" t="inlineStr">
        <is>
          <t>金额(万元)</t>
        </is>
      </c>
      <c r="C31" s="2" t="inlineStr">
        <is>
          <t>公式</t>
        </is>
      </c>
    </row>
    <row r="32">
      <c r="A32" s="3" t="inlineStr">
        <is>
          <t>经营活动现金流</t>
        </is>
      </c>
      <c r="B32" s="4" t="n">
        <v>-3966703.482028565</v>
      </c>
      <c r="C32" s="4" t="inlineStr">
        <is>
          <t>net_income + depreciation - ΔNWC</t>
        </is>
      </c>
    </row>
    <row r="33">
      <c r="A33" s="3" t="inlineStr">
        <is>
          <t>投资活动现金流</t>
        </is>
      </c>
      <c r="B33" s="4" t="n">
        <v>-1627663.92525</v>
      </c>
      <c r="C33" s="4" t="inlineStr">
        <is>
          <t>-capex</t>
        </is>
      </c>
    </row>
    <row r="34">
      <c r="A34" s="3" t="inlineStr">
        <is>
          <t>筹资活动现金流</t>
        </is>
      </c>
      <c r="B34" s="4" t="n">
        <v>-1746645.587928898</v>
      </c>
      <c r="C34" s="4" t="inlineStr">
        <is>
          <t>-interest - dividend + Δdebt</t>
        </is>
      </c>
    </row>
    <row r="35">
      <c r="A35" s="5" t="inlineStr">
        <is>
          <t>现金净变动</t>
        </is>
      </c>
      <c r="B35" s="6" t="n">
        <v>-7341012.995207463</v>
      </c>
      <c r="C35" s="6" t="inlineStr">
        <is>
          <t>OCF + ICF + FCF</t>
        </is>
      </c>
    </row>
    <row r="36">
      <c r="A36" s="5" t="inlineStr">
        <is>
          <t>期末现金</t>
        </is>
      </c>
      <c r="B36" s="6" t="n">
        <v>25083145.60479254</v>
      </c>
      <c r="C36" s="6" t="inlineStr"/>
    </row>
    <row r="38">
      <c r="A38" s="1" t="inlineStr">
        <is>
          <t>配平检验</t>
        </is>
      </c>
    </row>
    <row r="39">
      <c r="A39" s="3" t="inlineStr">
        <is>
          <t>状态</t>
        </is>
      </c>
      <c r="B39" s="4" t="inlineStr">
        <is>
          <t>✗ 不配平</t>
        </is>
      </c>
      <c r="C39" s="4" t="inlineStr">
        <is>
          <t>差额: 249346.33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</cols>
  <sheetData>
    <row r="1">
      <c r="A1" s="1" t="inlineStr">
        <is>
          <t>宁德时代 财务模型 - bear_case</t>
        </is>
      </c>
    </row>
    <row r="3">
      <c r="A3" s="1" t="inlineStr">
        <is>
          <t>利润表</t>
        </is>
      </c>
    </row>
    <row r="4">
      <c r="A4" s="2" t="inlineStr">
        <is>
          <t>科目</t>
        </is>
      </c>
      <c r="B4" s="2" t="inlineStr">
        <is>
          <t>金额(万元)</t>
        </is>
      </c>
      <c r="C4" s="2" t="inlineStr">
        <is>
          <t>公式</t>
        </is>
      </c>
    </row>
    <row r="5">
      <c r="A5" s="3" t="inlineStr">
        <is>
          <t>营业收入</t>
        </is>
      </c>
      <c r="B5" s="4" t="n">
        <v>29722558.635</v>
      </c>
      <c r="C5" s="4" t="inlineStr">
        <is>
          <t>last_revenue × (1 + growth_rate)</t>
        </is>
      </c>
    </row>
    <row r="6">
      <c r="A6" s="3" t="inlineStr">
        <is>
          <t>营业成本</t>
        </is>
      </c>
      <c r="B6" s="4" t="n">
        <v>22797202.473045</v>
      </c>
      <c r="C6" s="4" t="inlineStr">
        <is>
          <t>revenue × (1 - gross_margin)</t>
        </is>
      </c>
    </row>
    <row r="7">
      <c r="A7" s="5" t="inlineStr">
        <is>
          <t>毛利</t>
        </is>
      </c>
      <c r="B7" s="6" t="n">
        <v>6925356.161954999</v>
      </c>
      <c r="C7" s="6" t="inlineStr">
        <is>
          <t>revenue - cost</t>
        </is>
      </c>
    </row>
    <row r="8">
      <c r="A8" s="3" t="inlineStr">
        <is>
          <t>营业费用</t>
        </is>
      </c>
      <c r="B8" s="4" t="n">
        <v>2972255.8635</v>
      </c>
      <c r="C8" s="4" t="inlineStr">
        <is>
          <t>revenue × opex_ratio</t>
        </is>
      </c>
    </row>
    <row r="9">
      <c r="A9" s="5" t="inlineStr">
        <is>
          <t>营业利润</t>
        </is>
      </c>
      <c r="B9" s="6" t="n">
        <v>3953100.298454999</v>
      </c>
      <c r="C9" s="6" t="inlineStr">
        <is>
          <t>gross_profit - opex</t>
        </is>
      </c>
    </row>
    <row r="10">
      <c r="A10" s="3" t="inlineStr">
        <is>
          <t>利息费用</t>
        </is>
      </c>
      <c r="B10" s="4" t="n">
        <v>234390.97</v>
      </c>
      <c r="C10" s="4" t="inlineStr">
        <is>
          <t>debt × interest_rate</t>
        </is>
      </c>
    </row>
    <row r="11">
      <c r="A11" s="5" t="inlineStr">
        <is>
          <t>税前利润</t>
        </is>
      </c>
      <c r="B11" s="6" t="n">
        <v>3718709.328454998</v>
      </c>
      <c r="C11" s="6" t="inlineStr">
        <is>
          <t>ebit - interest</t>
        </is>
      </c>
    </row>
    <row r="12">
      <c r="A12" s="3" t="inlineStr">
        <is>
          <t>所得税</t>
        </is>
      </c>
      <c r="B12" s="4" t="n">
        <v>515413.1129238628</v>
      </c>
      <c r="C12" s="4" t="inlineStr">
        <is>
          <t>max(ebt, 0) × tax_rate</t>
        </is>
      </c>
    </row>
    <row r="13">
      <c r="A13" s="5" t="inlineStr">
        <is>
          <t>净利润</t>
        </is>
      </c>
      <c r="B13" s="6" t="n">
        <v>3203296.215531135</v>
      </c>
      <c r="C13" s="6" t="inlineStr">
        <is>
          <t>ebt - tax</t>
        </is>
      </c>
    </row>
    <row r="15">
      <c r="A15" s="1" t="inlineStr">
        <is>
          <t>资产负债表</t>
        </is>
      </c>
    </row>
    <row r="16">
      <c r="A16" s="2" t="inlineStr">
        <is>
          <t>科目</t>
        </is>
      </c>
      <c r="B16" s="2" t="inlineStr">
        <is>
          <t>金额(万元)</t>
        </is>
      </c>
      <c r="C16" s="2" t="inlineStr">
        <is>
          <t>说明</t>
        </is>
      </c>
    </row>
    <row r="17">
      <c r="A17" s="7" t="inlineStr">
        <is>
          <t>【资产】</t>
        </is>
      </c>
    </row>
    <row r="18">
      <c r="A18" s="3" t="inlineStr">
        <is>
          <t xml:space="preserve">  现金</t>
        </is>
      </c>
      <c r="B18" s="4" t="n">
        <v>22730944.73496154</v>
      </c>
      <c r="C18" s="4" t="inlineStr"/>
    </row>
    <row r="19">
      <c r="A19" s="3" t="inlineStr">
        <is>
          <t xml:space="preserve">  应收账款</t>
        </is>
      </c>
      <c r="B19" s="4" t="n">
        <v>5700216.724520548</v>
      </c>
      <c r="C19" s="4" t="inlineStr"/>
    </row>
    <row r="20">
      <c r="A20" s="3" t="inlineStr">
        <is>
          <t xml:space="preserve">  存货</t>
        </is>
      </c>
      <c r="B20" s="4" t="n">
        <v>6870389.786397125</v>
      </c>
      <c r="C20" s="4" t="inlineStr"/>
    </row>
    <row r="21">
      <c r="A21" s="3" t="inlineStr">
        <is>
          <t xml:space="preserve">  固定资产净值</t>
        </is>
      </c>
      <c r="B21" s="4" t="n">
        <v>11226076.7570025</v>
      </c>
      <c r="C21" s="4" t="inlineStr"/>
    </row>
    <row r="22">
      <c r="A22" s="5" t="inlineStr">
        <is>
          <t>资产合计</t>
        </is>
      </c>
      <c r="B22" s="6" t="n">
        <v>46527628.00288171</v>
      </c>
      <c r="C22" s="6" t="inlineStr"/>
    </row>
    <row r="23">
      <c r="A23" s="7" t="inlineStr">
        <is>
          <t>【负债】</t>
        </is>
      </c>
    </row>
    <row r="24">
      <c r="A24" s="3" t="inlineStr">
        <is>
          <t xml:space="preserve">  应付账款</t>
        </is>
      </c>
      <c r="B24" s="4" t="n">
        <v>7182680.231233357</v>
      </c>
      <c r="C24" s="4" t="inlineStr"/>
    </row>
    <row r="25">
      <c r="A25" s="3" t="inlineStr">
        <is>
          <t xml:space="preserve">  有息负债</t>
        </is>
      </c>
      <c r="B25" s="4" t="n">
        <v>9375638.800000001</v>
      </c>
      <c r="C25" s="4" t="inlineStr"/>
    </row>
    <row r="26">
      <c r="A26" s="5" t="inlineStr">
        <is>
          <t>负债合计</t>
        </is>
      </c>
      <c r="B26" s="6" t="n">
        <v>16558319.03123336</v>
      </c>
      <c r="C26" s="6" t="inlineStr"/>
    </row>
    <row r="27">
      <c r="A27" s="7" t="inlineStr">
        <is>
          <t>【权益】</t>
        </is>
      </c>
    </row>
    <row r="28">
      <c r="A28" s="5" t="inlineStr">
        <is>
          <t>权益合计</t>
        </is>
      </c>
      <c r="B28" s="6" t="n">
        <v>29748089.56164835</v>
      </c>
      <c r="C28" s="6" t="inlineStr"/>
    </row>
    <row r="30">
      <c r="A30" s="1" t="inlineStr">
        <is>
          <t>现金流量表</t>
        </is>
      </c>
    </row>
    <row r="31">
      <c r="A31" s="2" t="inlineStr">
        <is>
          <t>科目</t>
        </is>
      </c>
      <c r="B31" s="2" t="inlineStr">
        <is>
          <t>金额(万元)</t>
        </is>
      </c>
      <c r="C31" s="2" t="inlineStr">
        <is>
          <t>公式</t>
        </is>
      </c>
    </row>
    <row r="32">
      <c r="A32" s="3" t="inlineStr">
        <is>
          <t>经营活动现金流</t>
        </is>
      </c>
      <c r="B32" s="4" t="n">
        <v>-7617709.288930681</v>
      </c>
      <c r="C32" s="4" t="inlineStr">
        <is>
          <t>net_income + depreciation - ΔNWC</t>
        </is>
      </c>
    </row>
    <row r="33">
      <c r="A33" s="3" t="inlineStr">
        <is>
          <t>投资活动现金流</t>
        </is>
      </c>
      <c r="B33" s="4" t="n">
        <v>-1040289.552225</v>
      </c>
      <c r="C33" s="4" t="inlineStr">
        <is>
          <t>-capex</t>
        </is>
      </c>
    </row>
    <row r="34">
      <c r="A34" s="3" t="inlineStr">
        <is>
          <t>筹资活动现金流</t>
        </is>
      </c>
      <c r="B34" s="4" t="n">
        <v>-1035215.023882784</v>
      </c>
      <c r="C34" s="4" t="inlineStr">
        <is>
          <t>-interest - dividend + Δdebt</t>
        </is>
      </c>
    </row>
    <row r="35">
      <c r="A35" s="5" t="inlineStr">
        <is>
          <t>现金净变动</t>
        </is>
      </c>
      <c r="B35" s="6" t="n">
        <v>-9693213.865038464</v>
      </c>
      <c r="C35" s="6" t="inlineStr">
        <is>
          <t>OCF + ICF + FCF</t>
        </is>
      </c>
    </row>
    <row r="36">
      <c r="A36" s="5" t="inlineStr">
        <is>
          <t>期末现金</t>
        </is>
      </c>
      <c r="B36" s="6" t="n">
        <v>22730944.73496154</v>
      </c>
      <c r="C36" s="6" t="inlineStr"/>
    </row>
    <row r="38">
      <c r="A38" s="1" t="inlineStr">
        <is>
          <t>配平检验</t>
        </is>
      </c>
    </row>
    <row r="39">
      <c r="A39" s="3" t="inlineStr">
        <is>
          <t>状态</t>
        </is>
      </c>
      <c r="B39" s="4" t="inlineStr">
        <is>
          <t>✗ 不配平</t>
        </is>
      </c>
      <c r="C39" s="4" t="inlineStr">
        <is>
          <t>差额: 221219.41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</cols>
  <sheetData>
    <row r="1">
      <c r="A1" s="1" t="inlineStr">
        <is>
          <t>DCF 估值模型</t>
        </is>
      </c>
    </row>
    <row r="3">
      <c r="A3" s="1" t="inlineStr">
        <is>
          <t>折现率计算</t>
        </is>
      </c>
    </row>
    <row r="4">
      <c r="A4" s="2" t="inlineStr">
        <is>
          <t>项目</t>
        </is>
      </c>
      <c r="B4" s="2" t="inlineStr">
        <is>
          <t>值</t>
        </is>
      </c>
      <c r="C4" s="2" t="inlineStr">
        <is>
          <t>公式</t>
        </is>
      </c>
    </row>
    <row r="5">
      <c r="A5" s="3" t="inlineStr">
        <is>
          <t>股权成本 (Re)</t>
        </is>
      </c>
      <c r="B5" s="4" t="inlineStr">
        <is>
          <t>9.10%</t>
        </is>
      </c>
      <c r="C5" s="4" t="inlineStr">
        <is>
          <t>Rf + β × MRP</t>
        </is>
      </c>
    </row>
    <row r="6">
      <c r="A6" s="5" t="inlineStr">
        <is>
          <t>WACC</t>
        </is>
      </c>
      <c r="B6" s="6" t="inlineStr">
        <is>
          <t>7.69%</t>
        </is>
      </c>
      <c r="C6" s="6" t="inlineStr">
        <is>
          <t>E/(D+E) × Re + D/(D+E) × Rd × (1-t)</t>
        </is>
      </c>
    </row>
    <row r="8">
      <c r="A8" s="1" t="inlineStr">
        <is>
          <t>自由现金流预测</t>
        </is>
      </c>
    </row>
    <row r="9">
      <c r="A9" s="2" t="inlineStr">
        <is>
          <t>年份</t>
        </is>
      </c>
      <c r="B9" s="2" t="inlineStr">
        <is>
          <t>FCF (万元)</t>
        </is>
      </c>
      <c r="C9" s="2" t="inlineStr"/>
    </row>
    <row r="10">
      <c r="A10" s="3" t="inlineStr">
        <is>
          <t>year_1</t>
        </is>
      </c>
      <c r="B10" s="4" t="n">
        <v>2902357.44</v>
      </c>
      <c r="C10" s="4" t="inlineStr"/>
    </row>
    <row r="11">
      <c r="A11" s="3" t="inlineStr">
        <is>
          <t>year_2</t>
        </is>
      </c>
      <c r="B11" s="4" t="n">
        <v>3163569.61</v>
      </c>
      <c r="C11" s="4" t="inlineStr"/>
    </row>
    <row r="12">
      <c r="A12" s="3" t="inlineStr">
        <is>
          <t>year_3</t>
        </is>
      </c>
      <c r="B12" s="4" t="n">
        <v>3448290.88</v>
      </c>
      <c r="C12" s="4" t="inlineStr"/>
    </row>
    <row r="13">
      <c r="A13" s="3" t="inlineStr">
        <is>
          <t>year_4</t>
        </is>
      </c>
      <c r="B13" s="4" t="n">
        <v>3758637.05</v>
      </c>
      <c r="C13" s="4" t="inlineStr"/>
    </row>
    <row r="14">
      <c r="A14" s="3" t="inlineStr">
        <is>
          <t>year_5</t>
        </is>
      </c>
      <c r="B14" s="4" t="n">
        <v>4096914.39</v>
      </c>
      <c r="C14" s="4" t="inlineStr"/>
    </row>
    <row r="16">
      <c r="A16" s="1" t="inlineStr">
        <is>
          <t>估值结果</t>
        </is>
      </c>
    </row>
    <row r="17">
      <c r="A17" s="2" t="inlineStr">
        <is>
          <t>项目</t>
        </is>
      </c>
      <c r="B17" s="2" t="inlineStr">
        <is>
          <t>值 (万元)</t>
        </is>
      </c>
      <c r="C17" s="2" t="inlineStr">
        <is>
          <t>公式</t>
        </is>
      </c>
    </row>
    <row r="18">
      <c r="A18" s="3" t="inlineStr">
        <is>
          <t>终值</t>
        </is>
      </c>
      <c r="B18" s="4" t="n">
        <v>90043995.85396039</v>
      </c>
      <c r="C18" s="4" t="inlineStr">
        <is>
          <t>FCF × (1+g) / (WACC - g)</t>
        </is>
      </c>
    </row>
    <row r="19">
      <c r="A19" s="3" t="inlineStr">
        <is>
          <t>企业价值</t>
        </is>
      </c>
      <c r="B19" s="4" t="n">
        <v>75988739.35173625</v>
      </c>
      <c r="C19" s="4" t="inlineStr">
        <is>
          <t>Σ FCF/(1+WACC)^t + TV/(1+WACC)^n</t>
        </is>
      </c>
    </row>
    <row r="20">
      <c r="A20" s="3" t="inlineStr">
        <is>
          <t>股权价值</t>
        </is>
      </c>
      <c r="B20" s="4" t="n">
        <v>99037259.15173626</v>
      </c>
      <c r="C20" s="4" t="inlineStr">
        <is>
          <t>EV - Debt + Cash - Minority</t>
        </is>
      </c>
    </row>
    <row r="21">
      <c r="A21" s="5" t="inlineStr">
        <is>
          <t>每股价值 (元)</t>
        </is>
      </c>
      <c r="B21" s="6" t="n">
        <v>40.64024067687581</v>
      </c>
      <c r="C21" s="6" t="inlineStr">
        <is>
          <t>Equity Value / Shares Outstanding</t>
        </is>
      </c>
    </row>
    <row r="23">
      <c r="A23" s="1" t="inlineStr">
        <is>
          <t>敏感性分析 (每股价值)</t>
        </is>
      </c>
    </row>
    <row r="24">
      <c r="A24" s="2" t="inlineStr">
        <is>
          <t>WACC \ g</t>
        </is>
      </c>
      <c r="B24" s="2" t="inlineStr">
        <is>
          <t>g=2.0%</t>
        </is>
      </c>
      <c r="C24" s="2" t="inlineStr">
        <is>
          <t>g=2.5%</t>
        </is>
      </c>
      <c r="D24" s="2" t="inlineStr">
        <is>
          <t>g=3.0%</t>
        </is>
      </c>
      <c r="E24" s="2" t="inlineStr">
        <is>
          <t>g=3.5%</t>
        </is>
      </c>
      <c r="F24" s="2" t="inlineStr">
        <is>
          <t>g=4.0%</t>
        </is>
      </c>
    </row>
    <row r="25">
      <c r="A25" s="3" t="inlineStr">
        <is>
          <t>7.0%</t>
        </is>
      </c>
      <c r="B25" s="4" t="n">
        <v>39.69</v>
      </c>
      <c r="C25" s="4" t="n">
        <v>42.54</v>
      </c>
      <c r="D25" s="4" t="n">
        <v>46.1</v>
      </c>
      <c r="E25" s="4" t="n">
        <v>50.68</v>
      </c>
      <c r="F25" s="4" t="n">
        <v>56.79</v>
      </c>
    </row>
    <row r="26">
      <c r="A26" s="3" t="inlineStr">
        <is>
          <t>8.0%</t>
        </is>
      </c>
      <c r="B26" s="4" t="n">
        <v>34.53</v>
      </c>
      <c r="C26" s="4" t="n">
        <v>36.4</v>
      </c>
      <c r="D26" s="4" t="n">
        <v>38.65</v>
      </c>
      <c r="E26" s="4" t="n">
        <v>41.39</v>
      </c>
      <c r="F26" s="4" t="n">
        <v>44.82</v>
      </c>
    </row>
    <row r="27">
      <c r="A27" s="3" t="inlineStr">
        <is>
          <t>9.0%</t>
        </is>
      </c>
      <c r="B27" s="4" t="n">
        <v>30.84</v>
      </c>
      <c r="C27" s="4" t="n">
        <v>32.15</v>
      </c>
      <c r="D27" s="4" t="n">
        <v>33.68</v>
      </c>
      <c r="E27" s="4" t="n">
        <v>35.48</v>
      </c>
      <c r="F27" s="4" t="n">
        <v>37.65</v>
      </c>
    </row>
    <row r="28">
      <c r="A28" s="3" t="inlineStr">
        <is>
          <t>10.0%</t>
        </is>
      </c>
      <c r="B28" s="4" t="n">
        <v>28.08</v>
      </c>
      <c r="C28" s="4" t="n">
        <v>29.04</v>
      </c>
      <c r="D28" s="4" t="n">
        <v>30.13</v>
      </c>
      <c r="E28" s="4" t="n">
        <v>31.4</v>
      </c>
      <c r="F28" s="4" t="n">
        <v>32.87</v>
      </c>
    </row>
    <row r="29">
      <c r="A29" s="3" t="inlineStr">
        <is>
          <t>11.0%</t>
        </is>
      </c>
      <c r="B29" s="4" t="n">
        <v>25.94</v>
      </c>
      <c r="C29" s="4" t="n">
        <v>26.66</v>
      </c>
      <c r="D29" s="4" t="n">
        <v>27.48</v>
      </c>
      <c r="E29" s="4" t="n">
        <v>28.4</v>
      </c>
      <c r="F29" s="4" t="n">
        <v>29.46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场景对比分析</t>
        </is>
      </c>
    </row>
    <row r="3">
      <c r="A3" s="2" t="inlineStr">
        <is>
          <t>指标</t>
        </is>
      </c>
      <c r="B3" s="2" t="inlineStr">
        <is>
          <t>base_case</t>
        </is>
      </c>
      <c r="C3" s="2" t="inlineStr">
        <is>
          <t>bull_case</t>
        </is>
      </c>
      <c r="D3" s="2" t="inlineStr">
        <is>
          <t>bear_case</t>
        </is>
      </c>
    </row>
    <row r="4">
      <c r="A4" s="3" t="inlineStr">
        <is>
          <t>营业收入</t>
        </is>
      </c>
      <c r="B4" s="4" t="n">
        <v>30854847</v>
      </c>
      <c r="C4" s="4" t="n">
        <v>32553279</v>
      </c>
      <c r="D4" s="4" t="n">
        <v>29722559</v>
      </c>
    </row>
    <row r="5">
      <c r="A5" s="3" t="inlineStr">
        <is>
          <t>营业成本</t>
        </is>
      </c>
      <c r="B5" s="4" t="n">
        <v>23048570</v>
      </c>
      <c r="C5" s="4" t="n">
        <v>23666233</v>
      </c>
      <c r="D5" s="4" t="n">
        <v>22797202</v>
      </c>
    </row>
    <row r="6">
      <c r="A6" s="3" t="inlineStr">
        <is>
          <t>毛利</t>
        </is>
      </c>
      <c r="B6" s="4" t="n">
        <v>7806276</v>
      </c>
      <c r="C6" s="4" t="n">
        <v>8887045</v>
      </c>
      <c r="D6" s="4" t="n">
        <v>6925356</v>
      </c>
    </row>
    <row r="7">
      <c r="A7" s="3" t="inlineStr">
        <is>
          <t>营业利润</t>
        </is>
      </c>
      <c r="B7" s="4" t="n">
        <v>4813356</v>
      </c>
      <c r="C7" s="4" t="n">
        <v>5794484</v>
      </c>
      <c r="D7" s="4" t="n">
        <v>3953100</v>
      </c>
    </row>
    <row r="8">
      <c r="A8" s="3" t="inlineStr">
        <is>
          <t>净利润</t>
        </is>
      </c>
      <c r="B8" s="4" t="n">
        <v>3958050</v>
      </c>
      <c r="C8" s="4" t="n">
        <v>4813692</v>
      </c>
      <c r="D8" s="4" t="n">
        <v>3203296</v>
      </c>
    </row>
    <row r="9">
      <c r="A9" s="3" t="inlineStr">
        <is>
          <t>毛利率</t>
        </is>
      </c>
      <c r="B9" s="4" t="inlineStr">
        <is>
          <t>25.3%</t>
        </is>
      </c>
      <c r="C9" s="4" t="inlineStr">
        <is>
          <t>27.3%</t>
        </is>
      </c>
      <c r="D9" s="4" t="inlineStr">
        <is>
          <t>23.3%</t>
        </is>
      </c>
    </row>
    <row r="10">
      <c r="A10" s="3" t="inlineStr">
        <is>
          <t>净利率</t>
        </is>
      </c>
      <c r="B10" s="4" t="inlineStr">
        <is>
          <t>12.8%</t>
        </is>
      </c>
      <c r="C10" s="4" t="inlineStr">
        <is>
          <t>14.8%</t>
        </is>
      </c>
      <c r="D10" s="4" t="inlineStr">
        <is>
          <t>10.8%</t>
        </is>
      </c>
    </row>
    <row r="12">
      <c r="A12" s="3" t="inlineStr">
        <is>
          <t>场景排序验证</t>
        </is>
      </c>
      <c r="B12" s="4" t="inlineStr">
        <is>
          <t>✓ 通过</t>
        </is>
      </c>
      <c r="C12" s="4" t="inlineStr">
        <is>
          <t>Bull &gt; Base &gt; Bear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敏感性分析: net_income</t>
        </is>
      </c>
    </row>
    <row r="3">
      <c r="A3" s="2" t="inlineStr">
        <is>
          <t>growth_rate \ gross_margin</t>
        </is>
      </c>
      <c r="B3" s="2" t="inlineStr">
        <is>
          <t>gross_margin=0.23</t>
        </is>
      </c>
      <c r="C3" s="2" t="inlineStr">
        <is>
          <t>gross_margin=0.25</t>
        </is>
      </c>
      <c r="D3" s="2" t="inlineStr">
        <is>
          <t>gross_margin=0.27</t>
        </is>
      </c>
      <c r="E3" s="2" t="inlineStr">
        <is>
          <t>gross_margin=0.3</t>
        </is>
      </c>
    </row>
    <row r="4">
      <c r="A4" s="3" t="inlineStr">
        <is>
          <t>5.0%</t>
        </is>
      </c>
      <c r="B4" s="4" t="n">
        <v>3217026</v>
      </c>
      <c r="C4" s="4" t="n">
        <v>3729086</v>
      </c>
      <c r="D4" s="4" t="n">
        <v>4241146</v>
      </c>
      <c r="E4" s="4" t="n">
        <v>5009237</v>
      </c>
    </row>
    <row r="5">
      <c r="A5" s="3" t="inlineStr">
        <is>
          <t>9.0%</t>
        </is>
      </c>
      <c r="B5" s="4" t="n">
        <v>3346748</v>
      </c>
      <c r="C5" s="4" t="n">
        <v>3878315</v>
      </c>
      <c r="D5" s="4" t="n">
        <v>4409882</v>
      </c>
      <c r="E5" s="4" t="n">
        <v>5207233</v>
      </c>
    </row>
    <row r="6">
      <c r="A6" s="3" t="inlineStr">
        <is>
          <t>12.0%</t>
        </is>
      </c>
      <c r="B6" s="4" t="n">
        <v>3444039</v>
      </c>
      <c r="C6" s="4" t="n">
        <v>3990237</v>
      </c>
      <c r="D6" s="4" t="n">
        <v>4536434</v>
      </c>
      <c r="E6" s="4" t="n">
        <v>5355731</v>
      </c>
    </row>
    <row r="7">
      <c r="A7" s="3" t="inlineStr">
        <is>
          <t>15.0%</t>
        </is>
      </c>
      <c r="B7" s="4" t="n">
        <v>3541331</v>
      </c>
      <c r="C7" s="4" t="n">
        <v>4102158</v>
      </c>
      <c r="D7" s="4" t="n">
        <v>4662986</v>
      </c>
      <c r="E7" s="4" t="n">
        <v>5504228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</cols>
  <sheetData>
    <row r="1">
      <c r="A1" s="1" t="inlineStr">
        <is>
          <t>递延税计算</t>
        </is>
      </c>
    </row>
    <row r="2">
      <c r="A2" s="2" t="inlineStr">
        <is>
          <t>项目</t>
        </is>
      </c>
      <c r="B2" s="2" t="inlineStr">
        <is>
          <t>值</t>
        </is>
      </c>
      <c r="C2" s="2" t="inlineStr">
        <is>
          <t>说明</t>
        </is>
      </c>
    </row>
    <row r="3">
      <c r="A3" s="7" t="inlineStr">
        <is>
          <t>【loss_scenario】</t>
        </is>
      </c>
    </row>
    <row r="4">
      <c r="A4" s="3" t="inlineStr">
        <is>
          <t xml:space="preserve">  当期税</t>
        </is>
      </c>
      <c r="B4" s="4" t="n">
        <v>0</v>
      </c>
      <c r="C4" s="4" t="inlineStr">
        <is>
          <t>EBT &lt; 0, 无需缴税</t>
        </is>
      </c>
    </row>
    <row r="5">
      <c r="A5" s="3" t="inlineStr">
        <is>
          <t xml:space="preserve">  DTA变动</t>
        </is>
      </c>
      <c r="B5" s="4" t="n">
        <v>1250000</v>
      </c>
      <c r="C5" s="4" t="inlineStr">
        <is>
          <t>|EBT| × tax_rate</t>
        </is>
      </c>
    </row>
    <row r="6">
      <c r="A6" s="3" t="inlineStr">
        <is>
          <t xml:space="preserve">  期末DTA</t>
        </is>
      </c>
      <c r="B6" s="4" t="n">
        <v>1250000</v>
      </c>
      <c r="C6" s="4" t="inlineStr">
        <is>
          <t>opening_dta + dta_change</t>
        </is>
      </c>
    </row>
    <row r="7">
      <c r="A7" s="3" t="inlineStr">
        <is>
          <t xml:space="preserve">  所得税费用</t>
        </is>
      </c>
      <c r="B7" s="4" t="n">
        <v>-1250000</v>
      </c>
      <c r="C7" s="4" t="inlineStr">
        <is>
          <t>当期税 - DTA变动</t>
        </is>
      </c>
    </row>
    <row r="8">
      <c r="A8" s="7" t="inlineStr">
        <is>
          <t>【profit_with_loss】</t>
        </is>
      </c>
    </row>
    <row r="9">
      <c r="A9" s="3" t="inlineStr">
        <is>
          <t xml:space="preserve">  当期税</t>
        </is>
      </c>
      <c r="B9" s="4" t="n">
        <v>750000</v>
      </c>
      <c r="C9" s="4" t="inlineStr">
        <is>
          <t>(EBT - 可抵扣) × tax_rate</t>
        </is>
      </c>
    </row>
    <row r="10">
      <c r="A10" s="3" t="inlineStr">
        <is>
          <t xml:space="preserve">  DTA变动</t>
        </is>
      </c>
      <c r="B10" s="4" t="n">
        <v>-1250000</v>
      </c>
      <c r="C10" s="4" t="inlineStr">
        <is>
          <t>-可抵扣 × tax_rate (DTA减少)</t>
        </is>
      </c>
    </row>
    <row r="11">
      <c r="A11" s="3" t="inlineStr">
        <is>
          <t xml:space="preserve">  期末DTA</t>
        </is>
      </c>
      <c r="B11" s="4" t="n">
        <v>0</v>
      </c>
      <c r="C11" s="4" t="inlineStr">
        <is>
          <t>opening_dta + dta_change</t>
        </is>
      </c>
    </row>
    <row r="12">
      <c r="A12" s="3" t="inlineStr">
        <is>
          <t xml:space="preserve">  所得税费用</t>
        </is>
      </c>
      <c r="B12" s="4" t="n">
        <v>2000000</v>
      </c>
      <c r="C12" s="4" t="inlineStr">
        <is>
          <t>当期税 - DTA变动</t>
        </is>
      </c>
    </row>
    <row r="13">
      <c r="A13" s="7" t="inlineStr">
        <is>
          <t>【normal_profit】</t>
        </is>
      </c>
    </row>
    <row r="14">
      <c r="A14" s="3" t="inlineStr">
        <is>
          <t xml:space="preserve">  当期税</t>
        </is>
      </c>
      <c r="B14" s="4" t="n">
        <v>2500000</v>
      </c>
      <c r="C14" s="4" t="inlineStr">
        <is>
          <t>EBT × tax_rate</t>
        </is>
      </c>
    </row>
    <row r="15">
      <c r="A15" s="3" t="inlineStr">
        <is>
          <t xml:space="preserve">  DTA变动</t>
        </is>
      </c>
      <c r="B15" s="4" t="n">
        <v>0</v>
      </c>
      <c r="C15" s="4" t="inlineStr">
        <is>
          <t>无累计亏损，DTA不变</t>
        </is>
      </c>
    </row>
    <row r="16">
      <c r="A16" s="3" t="inlineStr">
        <is>
          <t xml:space="preserve">  期末DTA</t>
        </is>
      </c>
      <c r="B16" s="4" t="n">
        <v>0</v>
      </c>
      <c r="C16" s="4" t="inlineStr">
        <is>
          <t>opening_dta (不变)</t>
        </is>
      </c>
    </row>
    <row r="17">
      <c r="A17" s="3" t="inlineStr">
        <is>
          <t xml:space="preserve">  所得税费用</t>
        </is>
      </c>
      <c r="B17" s="4" t="n">
        <v>2500000</v>
      </c>
      <c r="C17" s="4" t="inlineStr">
        <is>
          <t>当期税 - DTA变动</t>
        </is>
      </c>
    </row>
    <row r="19">
      <c r="A19" s="1" t="inlineStr">
        <is>
          <t>资产减值测试</t>
        </is>
      </c>
    </row>
    <row r="20">
      <c r="A20" s="2" t="inlineStr">
        <is>
          <t>项目</t>
        </is>
      </c>
      <c r="B20" s="2" t="inlineStr">
        <is>
          <t>值</t>
        </is>
      </c>
      <c r="C20" s="2" t="inlineStr">
        <is>
          <t>公式</t>
        </is>
      </c>
    </row>
    <row r="21">
      <c r="A21" s="3" t="inlineStr">
        <is>
          <t>账面价值</t>
        </is>
      </c>
      <c r="B21" s="4" t="n">
        <v>10000000</v>
      </c>
      <c r="C21" s="4" t="inlineStr"/>
    </row>
    <row r="22">
      <c r="A22" s="3" t="inlineStr">
        <is>
          <t>可回收金额</t>
        </is>
      </c>
      <c r="B22" s="4" t="n">
        <v>8267753.692929568</v>
      </c>
      <c r="C22" s="4" t="inlineStr">
        <is>
          <t>max(fair_value, value_in_use)</t>
        </is>
      </c>
    </row>
    <row r="23">
      <c r="A23" s="5" t="inlineStr">
        <is>
          <t>减值损失</t>
        </is>
      </c>
      <c r="B23" s="6" t="n">
        <v>1732246.307070432</v>
      </c>
      <c r="C23" s="6" t="inlineStr">
        <is>
          <t>carrying_value - recoverable_amount</t>
        </is>
      </c>
    </row>
    <row r="24">
      <c r="A24" s="3" t="inlineStr">
        <is>
          <t>新账面价值</t>
        </is>
      </c>
      <c r="B24" s="4" t="n">
        <v>8267753.692929568</v>
      </c>
      <c r="C24" s="4" t="inlineStr">
        <is>
          <t>recoverable_amount</t>
        </is>
      </c>
    </row>
    <row r="26">
      <c r="A26" s="1" t="inlineStr">
        <is>
          <t>租赁资本化 (IFRS 16)</t>
        </is>
      </c>
    </row>
    <row r="27">
      <c r="A27" s="2" t="inlineStr">
        <is>
          <t>初始确认</t>
        </is>
      </c>
      <c r="B27" s="2" t="inlineStr">
        <is>
          <t>值</t>
        </is>
      </c>
      <c r="C27" s="2" t="inlineStr">
        <is>
          <t>公式</t>
        </is>
      </c>
    </row>
    <row r="28">
      <c r="A28" s="3" t="inlineStr">
        <is>
          <t>租赁负债</t>
        </is>
      </c>
      <c r="B28" s="4" t="n">
        <v>4329476.670630823</v>
      </c>
      <c r="C28" s="4" t="inlineStr">
        <is>
          <t>Σ rent / (1+r)^t, t=1..5</t>
        </is>
      </c>
    </row>
    <row r="29">
      <c r="A29" s="3" t="inlineStr">
        <is>
          <t>使用权资产</t>
        </is>
      </c>
      <c r="B29" s="4" t="n">
        <v>4329476.670630823</v>
      </c>
      <c r="C29" s="4">
        <f> lease_liability at inception</f>
        <v/>
      </c>
    </row>
    <row r="31">
      <c r="A31" s="2" t="inlineStr">
        <is>
          <t>年份</t>
        </is>
      </c>
      <c r="B31" s="2" t="inlineStr">
        <is>
          <t>期初负债</t>
        </is>
      </c>
      <c r="C31" s="2" t="inlineStr">
        <is>
          <t>利息</t>
        </is>
      </c>
      <c r="D31" s="2" t="inlineStr">
        <is>
          <t>本金</t>
        </is>
      </c>
      <c r="E31" s="2" t="inlineStr">
        <is>
          <t>期末负债</t>
        </is>
      </c>
      <c r="F31" s="2" t="inlineStr">
        <is>
          <t>折旧</t>
        </is>
      </c>
    </row>
    <row r="32">
      <c r="A32" s="3" t="n">
        <v>1</v>
      </c>
      <c r="B32" s="4" t="n">
        <v>4329476.67</v>
      </c>
      <c r="C32" s="4" t="n">
        <v>216473.83</v>
      </c>
      <c r="D32" s="4" t="n">
        <v>783526.17</v>
      </c>
      <c r="E32" s="4" t="n">
        <v>3545950.5</v>
      </c>
      <c r="F32" s="4" t="n">
        <v>865895.33</v>
      </c>
    </row>
    <row r="33">
      <c r="A33" s="3" t="n">
        <v>2</v>
      </c>
      <c r="B33" s="4" t="n">
        <v>3545950.5</v>
      </c>
      <c r="C33" s="4" t="n">
        <v>177297.53</v>
      </c>
      <c r="D33" s="4" t="n">
        <v>822702.47</v>
      </c>
      <c r="E33" s="4" t="n">
        <v>2723248.03</v>
      </c>
      <c r="F33" s="4" t="n">
        <v>865895.33</v>
      </c>
    </row>
    <row r="34">
      <c r="A34" s="3" t="n">
        <v>3</v>
      </c>
      <c r="B34" s="4" t="n">
        <v>2723248.03</v>
      </c>
      <c r="C34" s="4" t="n">
        <v>136162.4</v>
      </c>
      <c r="D34" s="4" t="n">
        <v>863837.6</v>
      </c>
      <c r="E34" s="4" t="n">
        <v>1859410.43</v>
      </c>
      <c r="F34" s="4" t="n">
        <v>865895.33</v>
      </c>
    </row>
    <row r="35">
      <c r="A35" s="3" t="n">
        <v>4</v>
      </c>
      <c r="B35" s="4" t="n">
        <v>1859410.43</v>
      </c>
      <c r="C35" s="4" t="n">
        <v>92970.52</v>
      </c>
      <c r="D35" s="4" t="n">
        <v>907029.48</v>
      </c>
      <c r="E35" s="4" t="n">
        <v>952380.95</v>
      </c>
      <c r="F35" s="4" t="n">
        <v>865895.33</v>
      </c>
    </row>
    <row r="36">
      <c r="A36" s="3" t="n">
        <v>5</v>
      </c>
      <c r="B36" s="4" t="n">
        <v>952380.95</v>
      </c>
      <c r="C36" s="4" t="n">
        <v>47619.05</v>
      </c>
      <c r="D36" s="4" t="n">
        <v>952380.95</v>
      </c>
      <c r="E36" s="4" t="n">
        <v>0</v>
      </c>
      <c r="F36" s="4" t="n">
        <v>865895.33</v>
      </c>
    </row>
    <row r="38">
      <c r="A38" s="2" t="inlineStr">
        <is>
          <t>影响项目</t>
        </is>
      </c>
      <c r="B38" s="2" t="inlineStr">
        <is>
          <t>值</t>
        </is>
      </c>
      <c r="C38" s="2" t="inlineStr"/>
    </row>
    <row r="39">
      <c r="A39" s="3" t="inlineStr">
        <is>
          <t>原租金费用</t>
        </is>
      </c>
      <c r="B39" s="4" t="n">
        <v>1000000</v>
      </c>
      <c r="C39" s="4" t="inlineStr"/>
    </row>
    <row r="40">
      <c r="A40" s="3" t="inlineStr">
        <is>
          <t>新折旧</t>
        </is>
      </c>
      <c r="B40" s="4" t="n">
        <v>865895.33</v>
      </c>
      <c r="C40" s="4" t="inlineStr"/>
    </row>
    <row r="41">
      <c r="A41" s="3" t="inlineStr">
        <is>
          <t>新利息</t>
        </is>
      </c>
      <c r="B41" s="4" t="n">
        <v>216473.83</v>
      </c>
      <c r="C41" s="4" t="inlineStr"/>
    </row>
    <row r="42">
      <c r="A42" s="3" t="inlineStr">
        <is>
          <t>EBITDA改善</t>
        </is>
      </c>
      <c r="B42" s="4" t="n">
        <v>1000000</v>
      </c>
      <c r="C42" s="4" t="inlineStr"/>
    </row>
    <row r="43">
      <c r="A43" s="3" t="inlineStr">
        <is>
          <t>净利润影响</t>
        </is>
      </c>
      <c r="B43" s="4" t="n">
        <v>-82369.16</v>
      </c>
      <c r="C4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2025-12-02T06:22:22Z</dcterms:created>
  <dcterms:modified xmlns:dcterms="http://purl.org/dc/terms/" xmlns:xsi="http://www.w3.org/2001/XMLSchema-instance" xsi:type="dcterms:W3CDTF">2025-12-02T06:22:22Z</dcterms:modified>
</cp:coreProperties>
</file>